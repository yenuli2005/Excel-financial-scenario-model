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3bee625a5a3531/Desktop/"/>
    </mc:Choice>
  </mc:AlternateContent>
  <xr:revisionPtr revIDLastSave="130" documentId="8_{154EE94A-5815-4E5B-81D7-74B6792C24E3}" xr6:coauthVersionLast="47" xr6:coauthVersionMax="47" xr10:uidLastSave="{A3BD18A2-315E-47DD-8D10-1BB809AC5BB9}"/>
  <bookViews>
    <workbookView xWindow="-120" yWindow="-120" windowWidth="20730" windowHeight="11760" xr2:uid="{3E25A2B0-7EDF-4F00-8379-58FEAB3D8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1" l="1"/>
  <c r="B11" i="1"/>
  <c r="B16" i="1"/>
  <c r="B13" i="1"/>
  <c r="E2" i="1"/>
  <c r="H15" i="1" l="1"/>
  <c r="G23" i="1"/>
  <c r="C16" i="1"/>
  <c r="D16" i="1" s="1"/>
  <c r="E16" i="1" s="1"/>
  <c r="B17" i="1" s="1"/>
  <c r="C17" i="1" l="1"/>
  <c r="D17" i="1" s="1"/>
  <c r="E17" i="1" s="1"/>
  <c r="B18" i="1" s="1"/>
  <c r="C18" i="1" l="1"/>
  <c r="D18" i="1" s="1"/>
  <c r="E18" i="1"/>
  <c r="B19" i="1" s="1"/>
  <c r="C19" i="1" l="1"/>
  <c r="D19" i="1" s="1"/>
  <c r="E19" i="1"/>
  <c r="B20" i="1" s="1"/>
  <c r="C20" i="1" l="1"/>
  <c r="D20" i="1" s="1"/>
  <c r="E20" i="1"/>
  <c r="B21" i="1" s="1"/>
  <c r="C21" i="1" l="1"/>
  <c r="D21" i="1" s="1"/>
  <c r="E21" i="1"/>
  <c r="B22" i="1" s="1"/>
  <c r="C22" i="1" l="1"/>
  <c r="D22" i="1" s="1"/>
  <c r="E22" i="1"/>
  <c r="B23" i="1" s="1"/>
  <c r="C23" i="1" l="1"/>
  <c r="D23" i="1" s="1"/>
  <c r="E23" i="1"/>
  <c r="B24" i="1" s="1"/>
  <c r="C24" i="1" l="1"/>
  <c r="D24" i="1" s="1"/>
  <c r="E24" i="1"/>
  <c r="B25" i="1" s="1"/>
  <c r="C25" i="1" l="1"/>
  <c r="D25" i="1" s="1"/>
  <c r="E25" i="1"/>
  <c r="B26" i="1" s="1"/>
  <c r="C26" i="1" l="1"/>
  <c r="D26" i="1" s="1"/>
  <c r="E26" i="1"/>
  <c r="B27" i="1" s="1"/>
  <c r="C27" i="1" l="1"/>
  <c r="D27" i="1" s="1"/>
  <c r="E27" i="1"/>
  <c r="B28" i="1" s="1"/>
  <c r="C28" i="1" l="1"/>
  <c r="D28" i="1" s="1"/>
  <c r="E28" i="1"/>
  <c r="B29" i="1" s="1"/>
  <c r="C29" i="1" l="1"/>
  <c r="D29" i="1" s="1"/>
  <c r="E29" i="1"/>
  <c r="B30" i="1" s="1"/>
  <c r="C30" i="1" l="1"/>
  <c r="D30" i="1" s="1"/>
  <c r="E30" i="1"/>
  <c r="B31" i="1" s="1"/>
  <c r="C31" i="1" l="1"/>
  <c r="D31" i="1" s="1"/>
  <c r="E31" i="1"/>
  <c r="B32" i="1" s="1"/>
  <c r="C32" i="1" l="1"/>
  <c r="D32" i="1" s="1"/>
  <c r="E32" i="1"/>
  <c r="B33" i="1" s="1"/>
  <c r="C33" i="1" l="1"/>
  <c r="D33" i="1" s="1"/>
  <c r="E33" i="1"/>
  <c r="B34" i="1" s="1"/>
  <c r="C34" i="1" l="1"/>
  <c r="D34" i="1" s="1"/>
  <c r="E34" i="1"/>
  <c r="B35" i="1" s="1"/>
  <c r="C35" i="1" l="1"/>
  <c r="D35" i="1" s="1"/>
  <c r="E35" i="1"/>
  <c r="B36" i="1" s="1"/>
  <c r="C36" i="1" l="1"/>
  <c r="D36" i="1" s="1"/>
  <c r="E36" i="1"/>
  <c r="B37" i="1" s="1"/>
  <c r="C37" i="1" l="1"/>
  <c r="D37" i="1" s="1"/>
  <c r="E37" i="1"/>
  <c r="B38" i="1" s="1"/>
  <c r="C38" i="1" l="1"/>
  <c r="D38" i="1" s="1"/>
  <c r="E38" i="1"/>
  <c r="B39" i="1" s="1"/>
  <c r="C39" i="1" l="1"/>
  <c r="D39" i="1" s="1"/>
  <c r="E39" i="1"/>
  <c r="B40" i="1" s="1"/>
  <c r="C40" i="1" l="1"/>
  <c r="D40" i="1" s="1"/>
  <c r="E40" i="1"/>
  <c r="B41" i="1" s="1"/>
  <c r="C41" i="1" l="1"/>
  <c r="D41" i="1" s="1"/>
  <c r="E41" i="1"/>
  <c r="B42" i="1" s="1"/>
  <c r="C42" i="1" l="1"/>
  <c r="D42" i="1" s="1"/>
  <c r="E42" i="1"/>
  <c r="B43" i="1" s="1"/>
  <c r="C43" i="1" l="1"/>
  <c r="D43" i="1" s="1"/>
  <c r="E43" i="1"/>
  <c r="B44" i="1" s="1"/>
  <c r="C44" i="1" l="1"/>
  <c r="D44" i="1" s="1"/>
  <c r="E44" i="1"/>
  <c r="B45" i="1" s="1"/>
  <c r="C45" i="1" l="1"/>
  <c r="D45" i="1" s="1"/>
  <c r="E45" i="1"/>
  <c r="B46" i="1" s="1"/>
  <c r="C46" i="1" l="1"/>
  <c r="D46" i="1" s="1"/>
  <c r="E46" i="1"/>
  <c r="B47" i="1" s="1"/>
  <c r="C47" i="1" l="1"/>
  <c r="D47" i="1" s="1"/>
  <c r="E47" i="1"/>
  <c r="B48" i="1" s="1"/>
  <c r="C48" i="1" l="1"/>
  <c r="D48" i="1" s="1"/>
  <c r="E48" i="1"/>
  <c r="B49" i="1" s="1"/>
  <c r="C49" i="1" l="1"/>
  <c r="D49" i="1" s="1"/>
  <c r="E49" i="1"/>
  <c r="B50" i="1" s="1"/>
  <c r="C50" i="1" l="1"/>
  <c r="D50" i="1" s="1"/>
  <c r="E50" i="1"/>
  <c r="B51" i="1" s="1"/>
  <c r="C51" i="1" l="1"/>
  <c r="D51" i="1" s="1"/>
  <c r="E51" i="1"/>
  <c r="B52" i="1" s="1"/>
  <c r="C52" i="1" l="1"/>
  <c r="D52" i="1" s="1"/>
  <c r="E52" i="1"/>
  <c r="B53" i="1" s="1"/>
  <c r="C53" i="1" l="1"/>
  <c r="D53" i="1" s="1"/>
  <c r="E53" i="1"/>
  <c r="B54" i="1" s="1"/>
  <c r="C54" i="1" l="1"/>
  <c r="D54" i="1" s="1"/>
  <c r="E54" i="1"/>
  <c r="B55" i="1" s="1"/>
  <c r="C55" i="1" l="1"/>
  <c r="D55" i="1" s="1"/>
  <c r="E55" i="1"/>
  <c r="B56" i="1" s="1"/>
  <c r="C56" i="1" l="1"/>
  <c r="D56" i="1" s="1"/>
  <c r="E56" i="1"/>
  <c r="B57" i="1" s="1"/>
  <c r="C57" i="1" l="1"/>
  <c r="D57" i="1" s="1"/>
  <c r="E57" i="1"/>
  <c r="B58" i="1" s="1"/>
  <c r="C58" i="1" l="1"/>
  <c r="D58" i="1" s="1"/>
  <c r="E58" i="1"/>
  <c r="B59" i="1" s="1"/>
  <c r="C59" i="1" l="1"/>
  <c r="D59" i="1" s="1"/>
  <c r="E59" i="1"/>
  <c r="B60" i="1" s="1"/>
  <c r="C60" i="1" l="1"/>
  <c r="D60" i="1" s="1"/>
  <c r="E60" i="1"/>
  <c r="B61" i="1" s="1"/>
  <c r="C61" i="1" l="1"/>
  <c r="D61" i="1" s="1"/>
  <c r="E61" i="1"/>
  <c r="B62" i="1" s="1"/>
  <c r="C62" i="1" l="1"/>
  <c r="D62" i="1" s="1"/>
  <c r="E62" i="1"/>
  <c r="B63" i="1" s="1"/>
  <c r="C63" i="1" l="1"/>
  <c r="D63" i="1" s="1"/>
  <c r="E63" i="1"/>
  <c r="B64" i="1" s="1"/>
  <c r="C64" i="1" l="1"/>
  <c r="D64" i="1" s="1"/>
  <c r="E64" i="1"/>
  <c r="B65" i="1" s="1"/>
  <c r="C65" i="1" l="1"/>
  <c r="D65" i="1" s="1"/>
  <c r="E65" i="1"/>
  <c r="B66" i="1" s="1"/>
  <c r="C66" i="1" l="1"/>
  <c r="D66" i="1" s="1"/>
  <c r="E66" i="1"/>
  <c r="B67" i="1" s="1"/>
  <c r="C67" i="1" l="1"/>
  <c r="D67" i="1" s="1"/>
  <c r="E67" i="1"/>
  <c r="B68" i="1" s="1"/>
  <c r="C68" i="1" l="1"/>
  <c r="D68" i="1" s="1"/>
  <c r="E68" i="1"/>
  <c r="B69" i="1" s="1"/>
  <c r="C69" i="1" l="1"/>
  <c r="D69" i="1" s="1"/>
  <c r="E69" i="1"/>
  <c r="B70" i="1" s="1"/>
  <c r="C70" i="1" l="1"/>
  <c r="D70" i="1" s="1"/>
  <c r="E70" i="1"/>
  <c r="B71" i="1" s="1"/>
  <c r="C71" i="1" l="1"/>
  <c r="D71" i="1" s="1"/>
  <c r="E71" i="1"/>
  <c r="B72" i="1" s="1"/>
  <c r="C72" i="1" l="1"/>
  <c r="D72" i="1" s="1"/>
  <c r="E72" i="1"/>
  <c r="B73" i="1" s="1"/>
  <c r="C73" i="1" l="1"/>
  <c r="D73" i="1" s="1"/>
  <c r="E73" i="1"/>
  <c r="B74" i="1" s="1"/>
  <c r="C74" i="1" l="1"/>
  <c r="D74" i="1" s="1"/>
  <c r="E74" i="1"/>
  <c r="B75" i="1" s="1"/>
  <c r="C75" i="1" l="1"/>
  <c r="D75" i="1" s="1"/>
  <c r="E75" i="1"/>
</calcChain>
</file>

<file path=xl/sharedStrings.xml><?xml version="1.0" encoding="utf-8"?>
<sst xmlns="http://schemas.openxmlformats.org/spreadsheetml/2006/main" count="31" uniqueCount="24">
  <si>
    <t>Company</t>
  </si>
  <si>
    <t>Revenue</t>
  </si>
  <si>
    <t>Alpha Corp.</t>
  </si>
  <si>
    <t>Beta Inc.</t>
  </si>
  <si>
    <t>Gamma LLC.</t>
  </si>
  <si>
    <t>Delta Co.</t>
  </si>
  <si>
    <t>Omega Ltd.</t>
  </si>
  <si>
    <t>Search Company</t>
  </si>
  <si>
    <t>Result</t>
  </si>
  <si>
    <t>Loan Amount</t>
  </si>
  <si>
    <t>Annual Interest Rate</t>
  </si>
  <si>
    <t>Years</t>
  </si>
  <si>
    <t>Month</t>
  </si>
  <si>
    <t>Monthly Pay</t>
  </si>
  <si>
    <t>Beginning Balance</t>
  </si>
  <si>
    <t>Interest Paid</t>
  </si>
  <si>
    <t>Principal Paid</t>
  </si>
  <si>
    <t>Ending Balance</t>
  </si>
  <si>
    <t>Interest Rate</t>
  </si>
  <si>
    <t>Inerest Rate</t>
  </si>
  <si>
    <t>Base</t>
  </si>
  <si>
    <t>Bull</t>
  </si>
  <si>
    <t>Bear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</si>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</sst>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2">
    <xf numFmtId="0" fontId="0" fillId="0" borderId="0" xfId="0"/>
    <xf numFmtId="166" fontId="0" fillId="0" borderId="0" xfId="0" applyNumberFormat="1"/>
    <xf numFmtId="44" fontId="0" fillId="0" borderId="0" xfId="2" applyFont="1"/>
    <xf numFmtId="9" fontId="0" fillId="0" borderId="0" xfId="3" applyFont="1"/>
    <xf numFmtId="8" fontId="0" fillId="0" borderId="0" xfId="0" applyNumberFormat="1"/>
    <xf numFmtId="44" fontId="0" fillId="0" borderId="0" xfId="0" applyNumberFormat="1"/>
    <xf numFmtId="0" fontId="1" fillId="2" borderId="0" xfId="4"/>
    <xf numFmtId="44" fontId="1" fillId="2" borderId="0" xfId="4" applyNumberFormat="1"/>
    <xf numFmtId="9" fontId="1" fillId="2" borderId="0" xfId="4" applyNumberFormat="1"/>
    <xf numFmtId="8" fontId="1" fillId="2" borderId="0" xfId="4" applyNumberFormat="1"/>
    <xf numFmtId="43" fontId="1" fillId="2" borderId="0" xfId="1" applyFill="1"/>
    <xf numFmtId="43" fontId="1" fillId="2" borderId="0" xfId="4" applyNumberFormat="1"/>
  </cellXfs>
  <cellStyles count="5">
    <cellStyle name="20% - Accent1" xfId="4" builtinId="30"/>
    <cellStyle name="Comma" xfId="1" builtinId="3"/>
    <cellStyle name="Currency" xfId="2" builtinId="4"/>
    <cellStyle name="Normal" xfId="0" builtinId="0"/>
    <cellStyle name="Percent" xfId="3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(&quot;$&quot;* #,##0.00_);_(&quot;$&quot;* \(#,##0.00\);_(&quot;$&quot;* &quot;-&quot;??_);_(@_)"/>
    </dxf>
    <dxf>
      <numFmt numFmtId="12" formatCode="&quot;$&quot;#,##0.00_);[Red]\(&quot;$&quot;#,##0.00\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6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8140EE-EF36-41EB-8F4D-186BD22D4ED7}" name="Table2" displayName="Table2" ref="A1:B6" totalsRowShown="0">
  <autoFilter ref="A1:B6" xr:uid="{CA8140EE-EF36-41EB-8F4D-186BD22D4ED7}"/>
  <tableColumns count="2">
    <tableColumn id="1" xr3:uid="{0B3E17A8-9F6D-4490-B65C-97A491C93565}" name="Company"/>
    <tableColumn id="2" xr3:uid="{6C2DAF44-C20F-4C3C-A7F5-F05D956D87A0}" name="Revenue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230761-7CD5-4967-9957-481B030B75F0}" name="Table3" displayName="Table3" ref="A15:E75" totalsRowShown="0">
  <autoFilter ref="A15:E75" xr:uid="{EB230761-7CD5-4967-9957-481B030B75F0}"/>
  <tableColumns count="5">
    <tableColumn id="1" xr3:uid="{3A1F3489-2D80-43BA-AF0C-D323FB62CF0C}" name="Month"/>
    <tableColumn id="2" xr3:uid="{A1739C60-EDAF-4A47-98C8-285E4FC09A09}" name="Beginning Balance" dataDxfId="5">
      <calculatedColumnFormula>E15</calculatedColumnFormula>
    </tableColumn>
    <tableColumn id="3" xr3:uid="{1A1AA086-BD1E-498A-975E-84349B40B4BA}" name="Interest Paid" dataDxfId="4">
      <calculatedColumnFormula>B16*($B$11/12)</calculatedColumnFormula>
    </tableColumn>
    <tableColumn id="4" xr3:uid="{9F00EBA4-94C8-4AB7-8A3B-6DEE472CF95B}" name="Principal Paid" dataDxfId="3">
      <calculatedColumnFormula>$B$13-C16</calculatedColumnFormula>
    </tableColumn>
    <tableColumn id="5" xr3:uid="{A08781F9-4AC8-485E-AF09-E4C2E4155788}" name="Ending Balance" dataDxfId="2">
      <calculatedColumnFormula>B16-D16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47BD25-E426-4DC4-9EEE-96D1A7363033}" name="Table4" displayName="Table4" ref="O1:Q4" totalsRowShown="0">
  <autoFilter ref="O1:Q4" xr:uid="{C947BD25-E426-4DC4-9EEE-96D1A7363033}"/>
  <tableColumns count="3">
    <tableColumn id="1" xr3:uid="{ECAB60D2-D8F0-4FAE-A985-39D069106771}" name="Scenario"/>
    <tableColumn id="2" xr3:uid="{4A6FD8F6-60F2-4E19-915F-92D1AAB4A755}" name="Interest Rate" dataDxfId="1" dataCellStyle="Percent"/>
    <tableColumn id="3" xr3:uid="{07D5409C-AEF1-41CE-9AC5-5C3544A10CBB}" name="Loan Amount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DF84-3AE2-4899-A0AB-E96E67F8CE49}">
  <dimension ref="A1:Q75"/>
  <sheetViews>
    <sheetView tabSelected="1" workbookViewId="0">
      <selection activeCell="M1" sqref="M1"/>
    </sheetView>
  </sheetViews>
  <sheetFormatPr defaultRowHeight="15" x14ac:dyDescent="0.25"/>
  <cols>
    <col min="1" max="1" width="18.85546875" customWidth="1"/>
    <col min="2" max="2" width="19.42578125" customWidth="1"/>
    <col min="3" max="3" width="14.28515625" customWidth="1"/>
    <col min="4" max="4" width="16" customWidth="1"/>
    <col min="5" max="5" width="16.7109375" customWidth="1"/>
    <col min="7" max="7" width="11.5703125" customWidth="1"/>
    <col min="15" max="15" width="10.85546875" customWidth="1"/>
    <col min="16" max="16" width="14" customWidth="1"/>
    <col min="17" max="17" width="14.7109375" customWidth="1"/>
  </cols>
  <sheetData>
    <row r="1" spans="1:17" x14ac:dyDescent="0.25">
      <c r="A1" t="s">
        <v>0</v>
      </c>
      <c r="B1" t="s">
        <v>1</v>
      </c>
      <c r="D1" s="6" t="s">
        <v>7</v>
      </c>
      <c r="E1" s="6" t="s">
        <v>8</v>
      </c>
      <c r="L1" s="6" t="s">
        <v>20</v>
      </c>
      <c r="M1" s="6" t="s">
        <v>21</v>
      </c>
      <c r="O1" t="s">
        <v>23</v>
      </c>
      <c r="P1" t="s">
        <v>18</v>
      </c>
      <c r="Q1" t="s">
        <v>9</v>
      </c>
    </row>
    <row r="2" spans="1:17" x14ac:dyDescent="0.25">
      <c r="A2" t="s">
        <v>2</v>
      </c>
      <c r="B2" s="1">
        <v>120</v>
      </c>
      <c r="D2" s="6" t="s">
        <v>5</v>
      </c>
      <c r="E2" s="6">
        <f>_xlfn.XLOOKUP(D2,A2:A6,B2:B6)</f>
        <v>300</v>
      </c>
      <c r="L2" s="6" t="s">
        <v>21</v>
      </c>
      <c r="M2" s="6"/>
      <c r="O2" t="s">
        <v>20</v>
      </c>
      <c r="P2" s="3">
        <v>7.0000000000000007E-2</v>
      </c>
      <c r="Q2" s="2">
        <v>10000</v>
      </c>
    </row>
    <row r="3" spans="1:17" x14ac:dyDescent="0.25">
      <c r="A3" t="s">
        <v>3</v>
      </c>
      <c r="B3" s="1">
        <v>450</v>
      </c>
      <c r="L3" s="6" t="s">
        <v>22</v>
      </c>
      <c r="M3" s="6"/>
      <c r="O3" t="s">
        <v>21</v>
      </c>
      <c r="P3" s="3">
        <v>0.05</v>
      </c>
      <c r="Q3" s="2">
        <v>15000</v>
      </c>
    </row>
    <row r="4" spans="1:17" x14ac:dyDescent="0.25">
      <c r="A4" t="s">
        <v>4</v>
      </c>
      <c r="B4" s="1">
        <v>85</v>
      </c>
      <c r="O4" t="s">
        <v>22</v>
      </c>
      <c r="P4" s="3">
        <v>0.09</v>
      </c>
      <c r="Q4" s="2">
        <v>9000</v>
      </c>
    </row>
    <row r="5" spans="1:17" x14ac:dyDescent="0.25">
      <c r="A5" t="s">
        <v>5</v>
      </c>
      <c r="B5" s="1">
        <v>300</v>
      </c>
    </row>
    <row r="6" spans="1:17" x14ac:dyDescent="0.25">
      <c r="A6" t="s">
        <v>6</v>
      </c>
      <c r="B6" s="1">
        <v>610</v>
      </c>
    </row>
    <row r="10" spans="1:17" x14ac:dyDescent="0.25">
      <c r="A10" s="6" t="s">
        <v>9</v>
      </c>
      <c r="B10" s="7">
        <f>_xlfn.XLOOKUP(M1,O2:O4,Q2:Q4)</f>
        <v>15000</v>
      </c>
    </row>
    <row r="11" spans="1:17" x14ac:dyDescent="0.25">
      <c r="A11" s="6" t="s">
        <v>10</v>
      </c>
      <c r="B11" s="8">
        <f>_xlfn.XLOOKUP(M1,O2:O4,P2:P4)</f>
        <v>0.05</v>
      </c>
    </row>
    <row r="12" spans="1:17" x14ac:dyDescent="0.25">
      <c r="A12" s="6" t="s">
        <v>11</v>
      </c>
      <c r="B12" s="6">
        <v>5</v>
      </c>
    </row>
    <row r="13" spans="1:17" x14ac:dyDescent="0.25">
      <c r="A13" s="6" t="s">
        <v>13</v>
      </c>
      <c r="B13" s="9">
        <f>PMT(B11/12,B12*12,(-B10))</f>
        <v>283.06850466016402</v>
      </c>
    </row>
    <row r="15" spans="1:17" x14ac:dyDescent="0.25">
      <c r="A15" t="s">
        <v>12</v>
      </c>
      <c r="B15" t="s">
        <v>14</v>
      </c>
      <c r="C15" t="s">
        <v>15</v>
      </c>
      <c r="D15" t="s">
        <v>16</v>
      </c>
      <c r="E15" t="s">
        <v>17</v>
      </c>
      <c r="G15" s="6" t="s">
        <v>18</v>
      </c>
      <c r="H15" s="10">
        <f>B13</f>
        <v>283.06850466016402</v>
      </c>
    </row>
    <row r="16" spans="1:17" x14ac:dyDescent="0.25">
      <c r="A16">
        <v>1</v>
      </c>
      <c r="B16" s="5">
        <f>B10</f>
        <v>15000</v>
      </c>
      <c r="C16" s="5">
        <f>B16*($B$11/12)</f>
        <v>62.5</v>
      </c>
      <c r="D16" s="4">
        <f>$B$13-C16</f>
        <v>220.56850466016402</v>
      </c>
      <c r="E16" s="5">
        <f>B16-D16</f>
        <v>14779.431495339835</v>
      </c>
      <c r="G16" s="8">
        <v>0.05</v>
      </c>
      <c r="H16" s="10">
        <f t="dataTable" ref="H16:H20" dt2D="0" dtr="0" r1="B11"/>
        <v>283.06850466016402</v>
      </c>
    </row>
    <row r="17" spans="1:12" x14ac:dyDescent="0.25">
      <c r="A17">
        <v>2</v>
      </c>
      <c r="B17" s="5">
        <f>E16</f>
        <v>14779.431495339835</v>
      </c>
      <c r="C17" s="5">
        <f>B17*($B$11/12)</f>
        <v>61.580964563915977</v>
      </c>
      <c r="D17" s="4">
        <f>$B$13-C17</f>
        <v>221.48754009624804</v>
      </c>
      <c r="E17" s="5">
        <f>B17-D17</f>
        <v>14557.943955243587</v>
      </c>
      <c r="G17" s="8">
        <v>0.06</v>
      </c>
      <c r="H17" s="10">
        <v>289.99202294141872</v>
      </c>
    </row>
    <row r="18" spans="1:12" x14ac:dyDescent="0.25">
      <c r="A18">
        <v>3</v>
      </c>
      <c r="B18" s="5">
        <f t="shared" ref="B18:B20" si="0">E17</f>
        <v>14557.943955243587</v>
      </c>
      <c r="C18" s="5">
        <f t="shared" ref="C18:C75" si="1">B18*($B$11/12)</f>
        <v>60.658099813514944</v>
      </c>
      <c r="D18" s="4">
        <f t="shared" ref="D18:D75" si="2">$B$13-C18</f>
        <v>222.41040484664907</v>
      </c>
      <c r="E18" s="5">
        <f t="shared" ref="E18:E20" si="3">B18-D18</f>
        <v>14335.533550396938</v>
      </c>
      <c r="G18" s="8">
        <v>7.0000000000000007E-2</v>
      </c>
      <c r="H18" s="10">
        <v>297.01797810524306</v>
      </c>
    </row>
    <row r="19" spans="1:12" x14ac:dyDescent="0.25">
      <c r="A19">
        <v>4</v>
      </c>
      <c r="B19" s="5">
        <f t="shared" si="0"/>
        <v>14335.533550396938</v>
      </c>
      <c r="C19" s="5">
        <f t="shared" si="1"/>
        <v>59.731389793320574</v>
      </c>
      <c r="D19" s="4">
        <f t="shared" si="2"/>
        <v>223.33711486684345</v>
      </c>
      <c r="E19" s="5">
        <f t="shared" si="3"/>
        <v>14112.196435530095</v>
      </c>
      <c r="G19" s="8">
        <v>0.08</v>
      </c>
      <c r="H19" s="10">
        <v>304.14591432620523</v>
      </c>
    </row>
    <row r="20" spans="1:12" x14ac:dyDescent="0.25">
      <c r="A20">
        <v>5</v>
      </c>
      <c r="B20" s="5">
        <f t="shared" si="0"/>
        <v>14112.196435530095</v>
      </c>
      <c r="C20" s="5">
        <f t="shared" si="1"/>
        <v>58.800818481375394</v>
      </c>
      <c r="D20" s="4">
        <f t="shared" si="2"/>
        <v>224.26768617878864</v>
      </c>
      <c r="E20" s="5">
        <f t="shared" si="3"/>
        <v>13887.928749351306</v>
      </c>
      <c r="G20" s="8">
        <v>0.09</v>
      </c>
      <c r="H20" s="10">
        <v>311.37532839531008</v>
      </c>
    </row>
    <row r="21" spans="1:12" x14ac:dyDescent="0.25">
      <c r="A21">
        <v>6</v>
      </c>
      <c r="B21" s="5">
        <f t="shared" ref="B21:B50" si="4">E20</f>
        <v>13887.928749351306</v>
      </c>
      <c r="C21" s="5">
        <f t="shared" si="1"/>
        <v>57.866369788963773</v>
      </c>
      <c r="D21" s="4">
        <f t="shared" si="2"/>
        <v>225.20213487120026</v>
      </c>
      <c r="E21" s="5">
        <f t="shared" ref="E21:E50" si="5">B21-D21</f>
        <v>13662.726614480105</v>
      </c>
    </row>
    <row r="22" spans="1:12" x14ac:dyDescent="0.25">
      <c r="A22">
        <v>7</v>
      </c>
      <c r="B22" s="5">
        <f t="shared" si="4"/>
        <v>13662.726614480105</v>
      </c>
      <c r="C22" s="5">
        <f t="shared" si="1"/>
        <v>56.928027560333767</v>
      </c>
      <c r="D22" s="4">
        <f t="shared" si="2"/>
        <v>226.14047709983026</v>
      </c>
      <c r="E22" s="5">
        <f t="shared" si="5"/>
        <v>13436.586137380275</v>
      </c>
      <c r="G22" s="11" t="s">
        <v>19</v>
      </c>
      <c r="H22" s="8">
        <v>0.05</v>
      </c>
      <c r="I22" s="8">
        <v>0.06</v>
      </c>
      <c r="J22" s="8">
        <v>7.0000000000000007E-2</v>
      </c>
      <c r="K22" s="8">
        <v>0.08</v>
      </c>
      <c r="L22" s="8">
        <v>0.09</v>
      </c>
    </row>
    <row r="23" spans="1:12" x14ac:dyDescent="0.25">
      <c r="A23">
        <v>8</v>
      </c>
      <c r="B23" s="5">
        <f t="shared" si="4"/>
        <v>13436.586137380275</v>
      </c>
      <c r="C23" s="5">
        <f t="shared" si="1"/>
        <v>55.985775572417808</v>
      </c>
      <c r="D23" s="4">
        <f t="shared" si="2"/>
        <v>227.0827290877462</v>
      </c>
      <c r="E23" s="5">
        <f t="shared" si="5"/>
        <v>13209.503408292529</v>
      </c>
      <c r="G23" s="11">
        <f>B13</f>
        <v>283.06850466016402</v>
      </c>
      <c r="H23" s="11">
        <f t="dataTable" ref="H23:L23" dt2D="0" dtr="1" r1="B11" ca="1"/>
        <v>283.06850466016402</v>
      </c>
      <c r="I23" s="11">
        <v>289.99202294141872</v>
      </c>
      <c r="J23" s="11">
        <v>297.01797810524306</v>
      </c>
      <c r="K23" s="11">
        <v>304.14591432620523</v>
      </c>
      <c r="L23" s="11">
        <v>311.37532839531008</v>
      </c>
    </row>
    <row r="24" spans="1:12" x14ac:dyDescent="0.25">
      <c r="A24">
        <v>9</v>
      </c>
      <c r="B24" s="5">
        <f t="shared" si="4"/>
        <v>13209.503408292529</v>
      </c>
      <c r="C24" s="5">
        <f t="shared" si="1"/>
        <v>55.0395975345522</v>
      </c>
      <c r="D24" s="4">
        <f t="shared" si="2"/>
        <v>228.02890712561182</v>
      </c>
      <c r="E24" s="5">
        <f t="shared" si="5"/>
        <v>12981.474501166917</v>
      </c>
    </row>
    <row r="25" spans="1:12" x14ac:dyDescent="0.25">
      <c r="A25">
        <v>10</v>
      </c>
      <c r="B25" s="5">
        <f t="shared" si="4"/>
        <v>12981.474501166917</v>
      </c>
      <c r="C25" s="5">
        <f t="shared" si="1"/>
        <v>54.089477088195487</v>
      </c>
      <c r="D25" s="4">
        <f t="shared" si="2"/>
        <v>228.97902757196854</v>
      </c>
      <c r="E25" s="5">
        <f t="shared" si="5"/>
        <v>12752.495473594949</v>
      </c>
    </row>
    <row r="26" spans="1:12" x14ac:dyDescent="0.25">
      <c r="A26">
        <v>11</v>
      </c>
      <c r="B26" s="5">
        <f t="shared" si="4"/>
        <v>12752.495473594949</v>
      </c>
      <c r="C26" s="5">
        <f t="shared" si="1"/>
        <v>53.135397806645621</v>
      </c>
      <c r="D26" s="4">
        <f t="shared" si="2"/>
        <v>229.93310685351841</v>
      </c>
      <c r="E26" s="5">
        <f t="shared" si="5"/>
        <v>12522.562366741431</v>
      </c>
    </row>
    <row r="27" spans="1:12" x14ac:dyDescent="0.25">
      <c r="A27">
        <v>12</v>
      </c>
      <c r="B27" s="5">
        <f t="shared" si="4"/>
        <v>12522.562366741431</v>
      </c>
      <c r="C27" s="5">
        <f t="shared" si="1"/>
        <v>52.177343194755963</v>
      </c>
      <c r="D27" s="4">
        <f t="shared" si="2"/>
        <v>230.89116146540806</v>
      </c>
      <c r="E27" s="5">
        <f t="shared" si="5"/>
        <v>12291.671205276023</v>
      </c>
    </row>
    <row r="28" spans="1:12" x14ac:dyDescent="0.25">
      <c r="A28">
        <v>13</v>
      </c>
      <c r="B28" s="5">
        <f t="shared" si="4"/>
        <v>12291.671205276023</v>
      </c>
      <c r="C28" s="5">
        <f t="shared" si="1"/>
        <v>51.215296688650099</v>
      </c>
      <c r="D28" s="4">
        <f t="shared" si="2"/>
        <v>231.85320797151394</v>
      </c>
      <c r="E28" s="5">
        <f t="shared" si="5"/>
        <v>12059.81799730451</v>
      </c>
    </row>
    <row r="29" spans="1:12" x14ac:dyDescent="0.25">
      <c r="A29">
        <v>14</v>
      </c>
      <c r="B29" s="5">
        <f t="shared" si="4"/>
        <v>12059.81799730451</v>
      </c>
      <c r="C29" s="5">
        <f t="shared" si="1"/>
        <v>50.249241655435455</v>
      </c>
      <c r="D29" s="4">
        <f t="shared" si="2"/>
        <v>232.81926300472855</v>
      </c>
      <c r="E29" s="5">
        <f t="shared" si="5"/>
        <v>11826.998734299781</v>
      </c>
    </row>
    <row r="30" spans="1:12" x14ac:dyDescent="0.25">
      <c r="A30">
        <v>15</v>
      </c>
      <c r="B30" s="5">
        <f t="shared" si="4"/>
        <v>11826.998734299781</v>
      </c>
      <c r="C30" s="5">
        <f t="shared" si="1"/>
        <v>49.279161392915753</v>
      </c>
      <c r="D30" s="4">
        <f t="shared" si="2"/>
        <v>233.78934326724828</v>
      </c>
      <c r="E30" s="5">
        <f t="shared" si="5"/>
        <v>11593.209391032533</v>
      </c>
    </row>
    <row r="31" spans="1:12" x14ac:dyDescent="0.25">
      <c r="A31">
        <v>16</v>
      </c>
      <c r="B31" s="5">
        <f t="shared" si="4"/>
        <v>11593.209391032533</v>
      </c>
      <c r="C31" s="5">
        <f t="shared" si="1"/>
        <v>48.305039129302223</v>
      </c>
      <c r="D31" s="4">
        <f t="shared" si="2"/>
        <v>234.76346553086179</v>
      </c>
      <c r="E31" s="5">
        <f t="shared" si="5"/>
        <v>11358.445925501672</v>
      </c>
    </row>
    <row r="32" spans="1:12" x14ac:dyDescent="0.25">
      <c r="A32">
        <v>17</v>
      </c>
      <c r="B32" s="5">
        <f t="shared" si="4"/>
        <v>11358.445925501672</v>
      </c>
      <c r="C32" s="5">
        <f t="shared" si="1"/>
        <v>47.326858022923631</v>
      </c>
      <c r="D32" s="4">
        <f t="shared" si="2"/>
        <v>235.74164663724039</v>
      </c>
      <c r="E32" s="5">
        <f t="shared" si="5"/>
        <v>11122.704278864432</v>
      </c>
    </row>
    <row r="33" spans="1:5" x14ac:dyDescent="0.25">
      <c r="A33">
        <v>18</v>
      </c>
      <c r="B33" s="5">
        <f t="shared" si="4"/>
        <v>11122.704278864432</v>
      </c>
      <c r="C33" s="5">
        <f t="shared" si="1"/>
        <v>46.344601161935131</v>
      </c>
      <c r="D33" s="4">
        <f t="shared" si="2"/>
        <v>236.72390349822888</v>
      </c>
      <c r="E33" s="5">
        <f t="shared" si="5"/>
        <v>10885.980375366204</v>
      </c>
    </row>
    <row r="34" spans="1:5" x14ac:dyDescent="0.25">
      <c r="A34">
        <v>19</v>
      </c>
      <c r="B34" s="5">
        <f t="shared" si="4"/>
        <v>10885.980375366204</v>
      </c>
      <c r="C34" s="5">
        <f t="shared" si="1"/>
        <v>45.358251564025849</v>
      </c>
      <c r="D34" s="4">
        <f t="shared" si="2"/>
        <v>237.71025309613816</v>
      </c>
      <c r="E34" s="5">
        <f t="shared" si="5"/>
        <v>10648.270122270065</v>
      </c>
    </row>
    <row r="35" spans="1:5" x14ac:dyDescent="0.25">
      <c r="A35">
        <v>20</v>
      </c>
      <c r="B35" s="5">
        <f t="shared" si="4"/>
        <v>10648.270122270065</v>
      </c>
      <c r="C35" s="5">
        <f t="shared" si="1"/>
        <v>44.36779217612527</v>
      </c>
      <c r="D35" s="4">
        <f t="shared" si="2"/>
        <v>238.70071248403875</v>
      </c>
      <c r="E35" s="5">
        <f t="shared" si="5"/>
        <v>10409.569409786027</v>
      </c>
    </row>
    <row r="36" spans="1:5" x14ac:dyDescent="0.25">
      <c r="A36">
        <v>21</v>
      </c>
      <c r="B36" s="5">
        <f t="shared" si="4"/>
        <v>10409.569409786027</v>
      </c>
      <c r="C36" s="5">
        <f t="shared" si="1"/>
        <v>43.373205874108443</v>
      </c>
      <c r="D36" s="4">
        <f t="shared" si="2"/>
        <v>239.69529878605559</v>
      </c>
      <c r="E36" s="5">
        <f t="shared" si="5"/>
        <v>10169.874110999972</v>
      </c>
    </row>
    <row r="37" spans="1:5" x14ac:dyDescent="0.25">
      <c r="A37">
        <v>22</v>
      </c>
      <c r="B37" s="5">
        <f t="shared" si="4"/>
        <v>10169.874110999972</v>
      </c>
      <c r="C37" s="5">
        <f t="shared" si="1"/>
        <v>42.374475462499881</v>
      </c>
      <c r="D37" s="4">
        <f t="shared" si="2"/>
        <v>240.69402919766415</v>
      </c>
      <c r="E37" s="5">
        <f t="shared" si="5"/>
        <v>9929.1800818023075</v>
      </c>
    </row>
    <row r="38" spans="1:5" x14ac:dyDescent="0.25">
      <c r="A38">
        <v>23</v>
      </c>
      <c r="B38" s="5">
        <f t="shared" si="4"/>
        <v>9929.1800818023075</v>
      </c>
      <c r="C38" s="5">
        <f t="shared" si="1"/>
        <v>41.371583674176279</v>
      </c>
      <c r="D38" s="4">
        <f t="shared" si="2"/>
        <v>241.69692098598773</v>
      </c>
      <c r="E38" s="5">
        <f t="shared" si="5"/>
        <v>9687.4831608163204</v>
      </c>
    </row>
    <row r="39" spans="1:5" x14ac:dyDescent="0.25">
      <c r="A39">
        <v>24</v>
      </c>
      <c r="B39" s="5">
        <f t="shared" si="4"/>
        <v>9687.4831608163204</v>
      </c>
      <c r="C39" s="5">
        <f t="shared" si="1"/>
        <v>40.364513170068001</v>
      </c>
      <c r="D39" s="4">
        <f t="shared" si="2"/>
        <v>242.70399149009603</v>
      </c>
      <c r="E39" s="5">
        <f t="shared" si="5"/>
        <v>9444.7791693262243</v>
      </c>
    </row>
    <row r="40" spans="1:5" x14ac:dyDescent="0.25">
      <c r="A40">
        <v>25</v>
      </c>
      <c r="B40" s="5">
        <f t="shared" si="4"/>
        <v>9444.7791693262243</v>
      </c>
      <c r="C40" s="5">
        <f t="shared" si="1"/>
        <v>39.353246538859267</v>
      </c>
      <c r="D40" s="4">
        <f t="shared" si="2"/>
        <v>243.71525812130477</v>
      </c>
      <c r="E40" s="5">
        <f t="shared" si="5"/>
        <v>9201.0639112049193</v>
      </c>
    </row>
    <row r="41" spans="1:5" x14ac:dyDescent="0.25">
      <c r="A41">
        <v>26</v>
      </c>
      <c r="B41" s="5">
        <f t="shared" si="4"/>
        <v>9201.0639112049193</v>
      </c>
      <c r="C41" s="5">
        <f t="shared" si="1"/>
        <v>38.337766296687164</v>
      </c>
      <c r="D41" s="4">
        <f t="shared" si="2"/>
        <v>244.73073836347686</v>
      </c>
      <c r="E41" s="5">
        <f t="shared" si="5"/>
        <v>8956.3331728414432</v>
      </c>
    </row>
    <row r="42" spans="1:5" x14ac:dyDescent="0.25">
      <c r="A42">
        <v>27</v>
      </c>
      <c r="B42" s="5">
        <f t="shared" si="4"/>
        <v>8956.3331728414432</v>
      </c>
      <c r="C42" s="5">
        <f t="shared" si="1"/>
        <v>37.318054886839349</v>
      </c>
      <c r="D42" s="4">
        <f t="shared" si="2"/>
        <v>245.75044977332468</v>
      </c>
      <c r="E42" s="5">
        <f t="shared" si="5"/>
        <v>8710.5827230681189</v>
      </c>
    </row>
    <row r="43" spans="1:5" x14ac:dyDescent="0.25">
      <c r="A43">
        <v>28</v>
      </c>
      <c r="B43" s="5">
        <f t="shared" si="4"/>
        <v>8710.5827230681189</v>
      </c>
      <c r="C43" s="5">
        <f t="shared" si="1"/>
        <v>36.294094679450495</v>
      </c>
      <c r="D43" s="4">
        <f t="shared" si="2"/>
        <v>246.77440998071353</v>
      </c>
      <c r="E43" s="5">
        <f t="shared" si="5"/>
        <v>8463.8083130874056</v>
      </c>
    </row>
    <row r="44" spans="1:5" x14ac:dyDescent="0.25">
      <c r="A44">
        <v>29</v>
      </c>
      <c r="B44" s="5">
        <f t="shared" si="4"/>
        <v>8463.8083130874056</v>
      </c>
      <c r="C44" s="5">
        <f t="shared" si="1"/>
        <v>35.265867971197522</v>
      </c>
      <c r="D44" s="4">
        <f t="shared" si="2"/>
        <v>247.80263668896652</v>
      </c>
      <c r="E44" s="5">
        <f t="shared" si="5"/>
        <v>8216.0056763984394</v>
      </c>
    </row>
    <row r="45" spans="1:5" x14ac:dyDescent="0.25">
      <c r="A45">
        <v>30</v>
      </c>
      <c r="B45" s="5">
        <f t="shared" si="4"/>
        <v>8216.0056763984394</v>
      </c>
      <c r="C45" s="5">
        <f t="shared" si="1"/>
        <v>34.233356984993499</v>
      </c>
      <c r="D45" s="4">
        <f t="shared" si="2"/>
        <v>248.83514767517053</v>
      </c>
      <c r="E45" s="5">
        <f t="shared" si="5"/>
        <v>7967.1705287232689</v>
      </c>
    </row>
    <row r="46" spans="1:5" x14ac:dyDescent="0.25">
      <c r="A46">
        <v>31</v>
      </c>
      <c r="B46" s="5">
        <f t="shared" si="4"/>
        <v>7967.1705287232689</v>
      </c>
      <c r="C46" s="5">
        <f t="shared" si="1"/>
        <v>33.196543869680283</v>
      </c>
      <c r="D46" s="4">
        <f t="shared" si="2"/>
        <v>249.87196079048374</v>
      </c>
      <c r="E46" s="5">
        <f t="shared" si="5"/>
        <v>7717.2985679327849</v>
      </c>
    </row>
    <row r="47" spans="1:5" x14ac:dyDescent="0.25">
      <c r="A47">
        <v>32</v>
      </c>
      <c r="B47" s="5">
        <f t="shared" si="4"/>
        <v>7717.2985679327849</v>
      </c>
      <c r="C47" s="5">
        <f t="shared" si="1"/>
        <v>32.155410699719937</v>
      </c>
      <c r="D47" s="4">
        <f t="shared" si="2"/>
        <v>250.91309396044409</v>
      </c>
      <c r="E47" s="5">
        <f t="shared" si="5"/>
        <v>7466.3854739723411</v>
      </c>
    </row>
    <row r="48" spans="1:5" x14ac:dyDescent="0.25">
      <c r="A48">
        <v>33</v>
      </c>
      <c r="B48" s="5">
        <f t="shared" si="4"/>
        <v>7466.3854739723411</v>
      </c>
      <c r="C48" s="5">
        <f t="shared" si="1"/>
        <v>31.109939474884754</v>
      </c>
      <c r="D48" s="4">
        <f t="shared" si="2"/>
        <v>251.95856518527927</v>
      </c>
      <c r="E48" s="5">
        <f t="shared" si="5"/>
        <v>7214.4269087870616</v>
      </c>
    </row>
    <row r="49" spans="1:5" x14ac:dyDescent="0.25">
      <c r="A49">
        <v>34</v>
      </c>
      <c r="B49" s="5">
        <f t="shared" si="4"/>
        <v>7214.4269087870616</v>
      </c>
      <c r="C49" s="5">
        <f t="shared" si="1"/>
        <v>30.060112119946091</v>
      </c>
      <c r="D49" s="4">
        <f t="shared" si="2"/>
        <v>253.00839254021793</v>
      </c>
      <c r="E49" s="5">
        <f t="shared" si="5"/>
        <v>6961.4185162468439</v>
      </c>
    </row>
    <row r="50" spans="1:5" x14ac:dyDescent="0.25">
      <c r="A50">
        <v>35</v>
      </c>
      <c r="B50" s="5">
        <f t="shared" si="4"/>
        <v>6961.4185162468439</v>
      </c>
      <c r="C50" s="5">
        <f t="shared" si="1"/>
        <v>29.005910484361848</v>
      </c>
      <c r="D50" s="4">
        <f t="shared" si="2"/>
        <v>254.06259417580219</v>
      </c>
      <c r="E50" s="5">
        <f t="shared" si="5"/>
        <v>6707.3559220710413</v>
      </c>
    </row>
    <row r="51" spans="1:5" x14ac:dyDescent="0.25">
      <c r="A51">
        <v>36</v>
      </c>
      <c r="B51" s="5">
        <f t="shared" ref="B51:B75" si="6">E50</f>
        <v>6707.3559220710413</v>
      </c>
      <c r="C51" s="5">
        <f t="shared" si="1"/>
        <v>27.947316341962672</v>
      </c>
      <c r="D51" s="4">
        <f t="shared" si="2"/>
        <v>255.12118831820135</v>
      </c>
      <c r="E51" s="5">
        <f t="shared" ref="E51:E75" si="7">B51-D51</f>
        <v>6452.2347337528399</v>
      </c>
    </row>
    <row r="52" spans="1:5" x14ac:dyDescent="0.25">
      <c r="A52">
        <v>37</v>
      </c>
      <c r="B52" s="5">
        <f t="shared" si="6"/>
        <v>6452.2347337528399</v>
      </c>
      <c r="C52" s="5">
        <f t="shared" si="1"/>
        <v>26.884311390636832</v>
      </c>
      <c r="D52" s="4">
        <f t="shared" si="2"/>
        <v>256.18419326952721</v>
      </c>
      <c r="E52" s="5">
        <f t="shared" si="7"/>
        <v>6196.0505404833129</v>
      </c>
    </row>
    <row r="53" spans="1:5" x14ac:dyDescent="0.25">
      <c r="A53">
        <v>38</v>
      </c>
      <c r="B53" s="5">
        <f t="shared" si="6"/>
        <v>6196.0505404833129</v>
      </c>
      <c r="C53" s="5">
        <f t="shared" si="1"/>
        <v>25.816877252013803</v>
      </c>
      <c r="D53" s="4">
        <f t="shared" si="2"/>
        <v>257.25162740815023</v>
      </c>
      <c r="E53" s="5">
        <f t="shared" si="7"/>
        <v>5938.798913075163</v>
      </c>
    </row>
    <row r="54" spans="1:5" x14ac:dyDescent="0.25">
      <c r="A54">
        <v>39</v>
      </c>
      <c r="B54" s="5">
        <f t="shared" si="6"/>
        <v>5938.798913075163</v>
      </c>
      <c r="C54" s="5">
        <f t="shared" si="1"/>
        <v>24.744995471146513</v>
      </c>
      <c r="D54" s="4">
        <f t="shared" si="2"/>
        <v>258.3235091890175</v>
      </c>
      <c r="E54" s="5">
        <f t="shared" si="7"/>
        <v>5680.4754038861456</v>
      </c>
    </row>
    <row r="55" spans="1:5" x14ac:dyDescent="0.25">
      <c r="A55">
        <v>40</v>
      </c>
      <c r="B55" s="5">
        <f t="shared" si="6"/>
        <v>5680.4754038861456</v>
      </c>
      <c r="C55" s="5">
        <f t="shared" si="1"/>
        <v>23.668647516192273</v>
      </c>
      <c r="D55" s="4">
        <f t="shared" si="2"/>
        <v>259.39985714397176</v>
      </c>
      <c r="E55" s="5">
        <f t="shared" si="7"/>
        <v>5421.0755467421741</v>
      </c>
    </row>
    <row r="56" spans="1:5" x14ac:dyDescent="0.25">
      <c r="A56">
        <v>41</v>
      </c>
      <c r="B56" s="5">
        <f t="shared" si="6"/>
        <v>5421.0755467421741</v>
      </c>
      <c r="C56" s="5">
        <f t="shared" si="1"/>
        <v>22.58781477809239</v>
      </c>
      <c r="D56" s="4">
        <f t="shared" si="2"/>
        <v>260.48068988207166</v>
      </c>
      <c r="E56" s="5">
        <f t="shared" si="7"/>
        <v>5160.5948568601025</v>
      </c>
    </row>
    <row r="57" spans="1:5" x14ac:dyDescent="0.25">
      <c r="A57">
        <v>42</v>
      </c>
      <c r="B57" s="5">
        <f t="shared" si="6"/>
        <v>5160.5948568601025</v>
      </c>
      <c r="C57" s="5">
        <f t="shared" si="1"/>
        <v>21.502478570250428</v>
      </c>
      <c r="D57" s="4">
        <f t="shared" si="2"/>
        <v>261.56602608991358</v>
      </c>
      <c r="E57" s="5">
        <f t="shared" si="7"/>
        <v>4899.0288307701885</v>
      </c>
    </row>
    <row r="58" spans="1:5" x14ac:dyDescent="0.25">
      <c r="A58">
        <v>43</v>
      </c>
      <c r="B58" s="5">
        <f t="shared" si="6"/>
        <v>4899.0288307701885</v>
      </c>
      <c r="C58" s="5">
        <f t="shared" si="1"/>
        <v>20.41262012820912</v>
      </c>
      <c r="D58" s="4">
        <f t="shared" si="2"/>
        <v>262.65588453195488</v>
      </c>
      <c r="E58" s="5">
        <f t="shared" si="7"/>
        <v>4636.3729462382335</v>
      </c>
    </row>
    <row r="59" spans="1:5" x14ac:dyDescent="0.25">
      <c r="A59">
        <v>44</v>
      </c>
      <c r="B59" s="5">
        <f t="shared" si="6"/>
        <v>4636.3729462382335</v>
      </c>
      <c r="C59" s="5">
        <f t="shared" si="1"/>
        <v>19.318220609325973</v>
      </c>
      <c r="D59" s="4">
        <f t="shared" si="2"/>
        <v>263.75028405083805</v>
      </c>
      <c r="E59" s="5">
        <f t="shared" si="7"/>
        <v>4372.6226621873957</v>
      </c>
    </row>
    <row r="60" spans="1:5" x14ac:dyDescent="0.25">
      <c r="A60">
        <v>45</v>
      </c>
      <c r="B60" s="5">
        <f t="shared" si="6"/>
        <v>4372.6226621873957</v>
      </c>
      <c r="C60" s="5">
        <f t="shared" si="1"/>
        <v>18.219261092447482</v>
      </c>
      <c r="D60" s="4">
        <f t="shared" si="2"/>
        <v>264.84924356771654</v>
      </c>
      <c r="E60" s="5">
        <f t="shared" si="7"/>
        <v>4107.7734186196794</v>
      </c>
    </row>
    <row r="61" spans="1:5" x14ac:dyDescent="0.25">
      <c r="A61">
        <v>46</v>
      </c>
      <c r="B61" s="5">
        <f t="shared" si="6"/>
        <v>4107.7734186196794</v>
      </c>
      <c r="C61" s="5">
        <f t="shared" si="1"/>
        <v>17.115722577581998</v>
      </c>
      <c r="D61" s="4">
        <f t="shared" si="2"/>
        <v>265.95278208258202</v>
      </c>
      <c r="E61" s="5">
        <f t="shared" si="7"/>
        <v>3841.8206365370975</v>
      </c>
    </row>
    <row r="62" spans="1:5" x14ac:dyDescent="0.25">
      <c r="A62">
        <v>47</v>
      </c>
      <c r="B62" s="5">
        <f t="shared" si="6"/>
        <v>3841.8206365370975</v>
      </c>
      <c r="C62" s="5">
        <f t="shared" si="1"/>
        <v>16.007585985571239</v>
      </c>
      <c r="D62" s="4">
        <f t="shared" si="2"/>
        <v>267.06091867459281</v>
      </c>
      <c r="E62" s="5">
        <f t="shared" si="7"/>
        <v>3574.7597178625047</v>
      </c>
    </row>
    <row r="63" spans="1:5" x14ac:dyDescent="0.25">
      <c r="A63">
        <v>48</v>
      </c>
      <c r="B63" s="5">
        <f t="shared" si="6"/>
        <v>3574.7597178625047</v>
      </c>
      <c r="C63" s="5">
        <f t="shared" si="1"/>
        <v>14.894832157760435</v>
      </c>
      <c r="D63" s="4">
        <f t="shared" si="2"/>
        <v>268.17367250240358</v>
      </c>
      <c r="E63" s="5">
        <f t="shared" si="7"/>
        <v>3306.5860453601013</v>
      </c>
    </row>
    <row r="64" spans="1:5" x14ac:dyDescent="0.25">
      <c r="A64">
        <v>49</v>
      </c>
      <c r="B64" s="5">
        <f t="shared" si="6"/>
        <v>3306.5860453601013</v>
      </c>
      <c r="C64" s="5">
        <f t="shared" si="1"/>
        <v>13.777441855667089</v>
      </c>
      <c r="D64" s="4">
        <f t="shared" si="2"/>
        <v>269.29106280449696</v>
      </c>
      <c r="E64" s="5">
        <f t="shared" si="7"/>
        <v>3037.2949825556043</v>
      </c>
    </row>
    <row r="65" spans="1:5" x14ac:dyDescent="0.25">
      <c r="A65">
        <v>50</v>
      </c>
      <c r="B65" s="5">
        <f t="shared" si="6"/>
        <v>3037.2949825556043</v>
      </c>
      <c r="C65" s="5">
        <f t="shared" si="1"/>
        <v>12.655395760648352</v>
      </c>
      <c r="D65" s="4">
        <f t="shared" si="2"/>
        <v>270.41310889951569</v>
      </c>
      <c r="E65" s="5">
        <f t="shared" si="7"/>
        <v>2766.8818736560888</v>
      </c>
    </row>
    <row r="66" spans="1:5" x14ac:dyDescent="0.25">
      <c r="A66">
        <v>51</v>
      </c>
      <c r="B66" s="5">
        <f t="shared" si="6"/>
        <v>2766.8818736560888</v>
      </c>
      <c r="C66" s="5">
        <f t="shared" si="1"/>
        <v>11.528674473567037</v>
      </c>
      <c r="D66" s="4">
        <f t="shared" si="2"/>
        <v>271.53983018659699</v>
      </c>
      <c r="E66" s="5">
        <f t="shared" si="7"/>
        <v>2495.3420434694917</v>
      </c>
    </row>
    <row r="67" spans="1:5" x14ac:dyDescent="0.25">
      <c r="A67">
        <v>52</v>
      </c>
      <c r="B67" s="5">
        <f t="shared" si="6"/>
        <v>2495.3420434694917</v>
      </c>
      <c r="C67" s="5">
        <f t="shared" si="1"/>
        <v>10.397258514456215</v>
      </c>
      <c r="D67" s="4">
        <f t="shared" si="2"/>
        <v>272.67124614570781</v>
      </c>
      <c r="E67" s="5">
        <f t="shared" si="7"/>
        <v>2222.670797323784</v>
      </c>
    </row>
    <row r="68" spans="1:5" x14ac:dyDescent="0.25">
      <c r="A68">
        <v>53</v>
      </c>
      <c r="B68" s="5">
        <f t="shared" si="6"/>
        <v>2222.670797323784</v>
      </c>
      <c r="C68" s="5">
        <f t="shared" si="1"/>
        <v>9.261128322182433</v>
      </c>
      <c r="D68" s="4">
        <f t="shared" si="2"/>
        <v>273.80737633798157</v>
      </c>
      <c r="E68" s="5">
        <f t="shared" si="7"/>
        <v>1948.8634209858023</v>
      </c>
    </row>
    <row r="69" spans="1:5" x14ac:dyDescent="0.25">
      <c r="A69">
        <v>54</v>
      </c>
      <c r="B69" s="5">
        <f t="shared" si="6"/>
        <v>1948.8634209858023</v>
      </c>
      <c r="C69" s="5">
        <f t="shared" si="1"/>
        <v>8.120264254107509</v>
      </c>
      <c r="D69" s="4">
        <f t="shared" si="2"/>
        <v>274.94824040605653</v>
      </c>
      <c r="E69" s="5">
        <f t="shared" si="7"/>
        <v>1673.9151805797458</v>
      </c>
    </row>
    <row r="70" spans="1:5" x14ac:dyDescent="0.25">
      <c r="A70">
        <v>55</v>
      </c>
      <c r="B70" s="5">
        <f t="shared" si="6"/>
        <v>1673.9151805797458</v>
      </c>
      <c r="C70" s="5">
        <f t="shared" si="1"/>
        <v>6.9746465857489408</v>
      </c>
      <c r="D70" s="4">
        <f t="shared" si="2"/>
        <v>276.0938580744151</v>
      </c>
      <c r="E70" s="5">
        <f t="shared" si="7"/>
        <v>1397.8213225053307</v>
      </c>
    </row>
    <row r="71" spans="1:5" x14ac:dyDescent="0.25">
      <c r="A71">
        <v>56</v>
      </c>
      <c r="B71" s="5">
        <f t="shared" si="6"/>
        <v>1397.8213225053307</v>
      </c>
      <c r="C71" s="5">
        <f t="shared" si="1"/>
        <v>5.8242555104388778</v>
      </c>
      <c r="D71" s="4">
        <f t="shared" si="2"/>
        <v>277.24424914972514</v>
      </c>
      <c r="E71" s="5">
        <f t="shared" si="7"/>
        <v>1120.5770733556055</v>
      </c>
    </row>
    <row r="72" spans="1:5" x14ac:dyDescent="0.25">
      <c r="A72">
        <v>57</v>
      </c>
      <c r="B72" s="5">
        <f t="shared" si="6"/>
        <v>1120.5770733556055</v>
      </c>
      <c r="C72" s="5">
        <f t="shared" si="1"/>
        <v>4.6690711389816899</v>
      </c>
      <c r="D72" s="4">
        <f t="shared" si="2"/>
        <v>278.39943352118235</v>
      </c>
      <c r="E72" s="5">
        <f t="shared" si="7"/>
        <v>842.17763983442319</v>
      </c>
    </row>
    <row r="73" spans="1:5" x14ac:dyDescent="0.25">
      <c r="A73">
        <v>58</v>
      </c>
      <c r="B73" s="5">
        <f t="shared" si="6"/>
        <v>842.17763983442319</v>
      </c>
      <c r="C73" s="5">
        <f t="shared" si="1"/>
        <v>3.5090734993100967</v>
      </c>
      <c r="D73" s="4">
        <f t="shared" si="2"/>
        <v>279.55943116085393</v>
      </c>
      <c r="E73" s="5">
        <f t="shared" si="7"/>
        <v>562.61820867356926</v>
      </c>
    </row>
    <row r="74" spans="1:5" x14ac:dyDescent="0.25">
      <c r="A74">
        <v>59</v>
      </c>
      <c r="B74" s="5">
        <f t="shared" si="6"/>
        <v>562.61820867356926</v>
      </c>
      <c r="C74" s="5">
        <f t="shared" si="1"/>
        <v>2.344242536139872</v>
      </c>
      <c r="D74" s="4">
        <f t="shared" si="2"/>
        <v>280.72426212402416</v>
      </c>
      <c r="E74" s="5">
        <f t="shared" si="7"/>
        <v>281.89394654954509</v>
      </c>
    </row>
    <row r="75" spans="1:5" x14ac:dyDescent="0.25">
      <c r="A75">
        <v>60</v>
      </c>
      <c r="B75" s="5">
        <f t="shared" si="6"/>
        <v>281.89394654954509</v>
      </c>
      <c r="C75" s="5">
        <f t="shared" si="1"/>
        <v>1.1745581106231044</v>
      </c>
      <c r="D75" s="4">
        <f t="shared" si="2"/>
        <v>281.89394654954094</v>
      </c>
      <c r="E75" s="5">
        <f t="shared" si="7"/>
        <v>4.1495695768389851E-12</v>
      </c>
    </row>
  </sheetData>
  <dataValidations count="2">
    <dataValidation type="list" allowBlank="1" showInputMessage="1" showErrorMessage="1" sqref="M1" xr:uid="{284AA28D-C840-489F-95E6-954A4365E92C}">
      <formula1>$L$1:$L$3</formula1>
    </dataValidation>
    <dataValidation type="list" allowBlank="1" showInputMessage="1" showErrorMessage="1" sqref="D2" xr:uid="{4BE1D83D-94C1-47E7-B1DE-2E68E0EEDE85}">
      <formula1>$A$2:$A$6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Vindiya Dewmin</dc:creator>
  <cp:lastModifiedBy>Vindiya Dewmin</cp:lastModifiedBy>
  <dcterms:created xsi:type="dcterms:W3CDTF">2026-09-05T16:42:53Z</dcterms:created>
  <dcterms:modified xsi:type="dcterms:W3CDTF">2026-09-05T17:54:39Z</dcterms:modified>
</cp:coreProperties>
</file>